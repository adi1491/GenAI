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cd1227251c58d6/Desktop/"/>
    </mc:Choice>
  </mc:AlternateContent>
  <xr:revisionPtr revIDLastSave="106" documentId="8_{F6754852-2F61-4153-BB29-7D652788CFB1}" xr6:coauthVersionLast="47" xr6:coauthVersionMax="47" xr10:uidLastSave="{E6201813-156D-45B3-8066-22A8F377DCD3}"/>
  <bookViews>
    <workbookView xWindow="-108" yWindow="-108" windowWidth="23256" windowHeight="12456" xr2:uid="{14FB8B95-DE1E-450E-8058-0A9AEA3BD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H70" i="1"/>
  <c r="H68" i="1"/>
  <c r="G65" i="1"/>
  <c r="H65" i="1" s="1"/>
  <c r="G64" i="1"/>
  <c r="H64" i="1" s="1"/>
  <c r="G63" i="1"/>
  <c r="H63" i="1" s="1"/>
  <c r="H60" i="1"/>
  <c r="H52" i="1"/>
  <c r="H50" i="1"/>
  <c r="G49" i="1"/>
  <c r="H49" i="1" s="1"/>
  <c r="G58" i="1"/>
  <c r="H58" i="1" s="1"/>
  <c r="G55" i="1"/>
  <c r="H55" i="1" s="1"/>
  <c r="G48" i="1"/>
  <c r="H48" i="1" s="1"/>
  <c r="G47" i="1"/>
  <c r="H47" i="1" s="1"/>
  <c r="G46" i="1"/>
  <c r="H46" i="1" s="1"/>
  <c r="G36" i="1"/>
  <c r="H36" i="1" s="1"/>
  <c r="G35" i="1"/>
  <c r="H35" i="1" s="1"/>
  <c r="G34" i="1"/>
  <c r="H34" i="1" s="1"/>
  <c r="G33" i="1"/>
  <c r="H33" i="1" s="1"/>
  <c r="G23" i="1"/>
  <c r="H23" i="1" s="1"/>
  <c r="G22" i="1"/>
  <c r="H22" i="1" s="1"/>
  <c r="G21" i="1"/>
  <c r="H21" i="1" s="1"/>
  <c r="G20" i="1"/>
  <c r="H20" i="1" s="1"/>
  <c r="G10" i="1"/>
  <c r="H10" i="1" s="1"/>
  <c r="G9" i="1"/>
  <c r="H9" i="1" s="1"/>
  <c r="G8" i="1"/>
  <c r="H8" i="1" s="1"/>
  <c r="G7" i="1"/>
  <c r="H7" i="1" s="1"/>
  <c r="G6" i="1"/>
  <c r="G5" i="1"/>
  <c r="H6" i="1" l="1"/>
  <c r="H40" i="1" s="1"/>
  <c r="H37" i="1"/>
  <c r="H24" i="1"/>
  <c r="H11" i="1" l="1"/>
  <c r="H27" i="1"/>
</calcChain>
</file>

<file path=xl/sharedStrings.xml><?xml version="1.0" encoding="utf-8"?>
<sst xmlns="http://schemas.openxmlformats.org/spreadsheetml/2006/main" count="82" uniqueCount="47">
  <si>
    <t>Academic Year 2025-26 &gt; Term 1</t>
  </si>
  <si>
    <t>Course name</t>
  </si>
  <si>
    <t>Letter Grade</t>
  </si>
  <si>
    <t>Grade Point</t>
  </si>
  <si>
    <t>Course Credit</t>
  </si>
  <si>
    <t>Mastering Verbal Communication (Sec: G, H &amp; I) (MVCM3_PGPMOH_2025-26_T1)</t>
  </si>
  <si>
    <t>A-</t>
  </si>
  <si>
    <t>Written Analysis &amp; Communication ( Sec: H, G &amp; J) (WACM3_PGPMOH_2025-26_T1)</t>
  </si>
  <si>
    <t>B-</t>
  </si>
  <si>
    <t>Statistical Methods for Business Decision Making ( Sec: G, I, H, &amp; J) (SMDM3_PGPMOH_2025-26_T1)</t>
  </si>
  <si>
    <t>Managerial Economics ( Sec: G, H , I , J , K &amp; L) (MGEC3_PGPMOH_2025-26_T1)</t>
  </si>
  <si>
    <t>D</t>
  </si>
  <si>
    <t>Leading Self and Teams ( Sec: H &amp; J) (LSAT4_PGPMOH_2025-26_T1)</t>
  </si>
  <si>
    <t>Financial Ac​counting in Decision Making​​​ ( Sec: H, K &amp; J) (FADM4_PGPMOH_2025-26_T1)</t>
  </si>
  <si>
    <t>C</t>
  </si>
  <si>
    <t>GPA : 2.18</t>
  </si>
  <si>
    <t>CGPA : 2.18</t>
  </si>
  <si>
    <t>Core CGPA : 2.18</t>
  </si>
  <si>
    <t>Academic Year 2025-26 &gt; Term 2</t>
  </si>
  <si>
    <t>Frontier Technologies (Section: G, H, I) (FRNT2_PGPMOH_2025-26_T2)</t>
  </si>
  <si>
    <t>Business, Society and Non-Market Strategies (Section: G, H, I, J ) (BSNS2_PGPMOH_2025-26_T2)</t>
  </si>
  <si>
    <t>B</t>
  </si>
  <si>
    <t>Strategy (Section: G, H, I) (STRG3_PGPMOH_2025-26_T2)</t>
  </si>
  <si>
    <t>Foundations of Finance: Opportunity Cost, Risk and Valuation (Section: G, H, I, J, K, L) (FCRV3_PGPMOH_2025-26_T2)</t>
  </si>
  <si>
    <t>GPA : 2.13</t>
  </si>
  <si>
    <t>CGPA : 2.16</t>
  </si>
  <si>
    <t>Core CGPA : 1.99</t>
  </si>
  <si>
    <t>Academic Year 2025-26 &gt; Term 3</t>
  </si>
  <si>
    <t>​The Art and Science of Managerial Decision-Making (Section: G, H, I &amp; J) (ASMD2_PGPMOH_2025-26_T3)</t>
  </si>
  <si>
    <t>Business Analytics for Technology Management (Section: G &amp; H) (BATM2_PGPMOH_2025-26_T3)</t>
  </si>
  <si>
    <t>Operations Management (Section: G, H, I) (OPMG3_PGPMOH_2025-26_T3)</t>
  </si>
  <si>
    <t>Marketing Management​​​ (Sec: G, H, I &amp; J) (MKTG3_PGPMOH_2025-26_T3)</t>
  </si>
  <si>
    <t>GPA : 2.38</t>
  </si>
  <si>
    <t>CGPA : 2.22</t>
  </si>
  <si>
    <t>Academic Year 2025-26 &gt; Term 4</t>
  </si>
  <si>
    <t>Leading People through the Future of Work (​LPFW_PGPMOH_2025-26_T4)</t>
  </si>
  <si>
    <t>Business Value Of Disruptive Technologies (​BVDT_PGPMOH_2025-26_T4)</t>
  </si>
  <si>
    <t>Sustainability and Ethics (Section: H, K, I ) (SUET4_PGPMOH_2025-26_T4)</t>
  </si>
  <si>
    <t>Academic Year 2025-26 &gt; Block Week 1</t>
  </si>
  <si>
    <t>Managing Growth: Marketing Leadership with AI (MLAI_PGPMOH_2025-26_BW1)</t>
  </si>
  <si>
    <t>Academic Year 2025-26 &gt; Block Week 2</t>
  </si>
  <si>
    <t>​Strategy and Governance in Business Groups (​STGB_PGPMOH_2025-26_BW2)</t>
  </si>
  <si>
    <t>SWPM</t>
  </si>
  <si>
    <t>Term 5</t>
  </si>
  <si>
    <t>tbof</t>
  </si>
  <si>
    <t>lwpm</t>
  </si>
  <si>
    <t>swpm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</si>
</sst>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8000000000000007"/>
      <color rgb="FF212529"/>
      <name val="Aptos Narrow"/>
      <family val="2"/>
      <scheme val="minor"/>
    </font>
    <font>
      <sz val="8.8000000000000007"/>
      <color rgb="FF21252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DEE2E6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DEE2E6"/>
      </bottom>
      <diagonal/>
    </border>
    <border>
      <left/>
      <right/>
      <top style="medium">
        <color rgb="FF000000"/>
      </top>
      <bottom style="medium">
        <color rgb="FFDEE2E6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EE2E6"/>
      </bottom>
      <diagonal/>
    </border>
    <border>
      <left style="medium">
        <color rgb="FF000000"/>
      </left>
      <right/>
      <top style="medium">
        <color rgb="FFDEE2E6"/>
      </top>
      <bottom/>
      <diagonal/>
    </border>
    <border>
      <left/>
      <right style="medium">
        <color rgb="FF000000"/>
      </right>
      <top style="medium">
        <color rgb="FFDEE2E6"/>
      </top>
      <bottom/>
      <diagonal/>
    </border>
    <border>
      <left style="medium">
        <color rgb="FF000000"/>
      </left>
      <right/>
      <top style="medium">
        <color rgb="FFDEE2E6"/>
      </top>
      <bottom style="medium">
        <color rgb="FF000000"/>
      </bottom>
      <diagonal/>
    </border>
    <border>
      <left/>
      <right/>
      <top style="medium">
        <color rgb="FFDEE2E6"/>
      </top>
      <bottom style="medium">
        <color rgb="FF000000"/>
      </bottom>
      <diagonal/>
    </border>
    <border>
      <left/>
      <right style="medium">
        <color rgb="FF000000"/>
      </right>
      <top style="medium">
        <color rgb="FFDEE2E6"/>
      </top>
      <bottom style="medium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0" borderId="7" xfId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1" fillId="2" borderId="0" xfId="0" applyFont="1" applyFill="1"/>
    <xf numFmtId="43" fontId="0" fillId="0" borderId="0" xfId="0" applyNumberFormat="1"/>
    <xf numFmtId="43" fontId="1" fillId="0" borderId="0" xfId="0" applyNumberFormat="1" applyFont="1"/>
    <xf numFmtId="43" fontId="1" fillId="0" borderId="0" xfId="2" applyFont="1"/>
    <xf numFmtId="43" fontId="1" fillId="2" borderId="0" xfId="2" applyFont="1" applyFill="1"/>
    <xf numFmtId="0" fontId="4" fillId="0" borderId="0" xfId="1" applyBorder="1" applyAlignment="1">
      <alignment vertical="top"/>
    </xf>
    <xf numFmtId="0" fontId="3" fillId="0" borderId="0" xfId="0" applyFont="1" applyAlignment="1">
      <alignment vertical="top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58</xdr:row>
          <xdr:rowOff>0</xdr:rowOff>
        </xdr:from>
        <xdr:to>
          <xdr:col>3</xdr:col>
          <xdr:colOff>304800</xdr:colOff>
          <xdr:row>59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earn.isb.edu/course/view.php?id=9875" TargetMode="External"/><Relationship Id="rId13" Type="http://schemas.openxmlformats.org/officeDocument/2006/relationships/hyperlink" Target="https://elearn.isb.edu/course/view.php?id=9946" TargetMode="External"/><Relationship Id="rId18" Type="http://schemas.openxmlformats.org/officeDocument/2006/relationships/hyperlink" Target="https://elearn.isb.edu/course/view.php?id=10121" TargetMode="External"/><Relationship Id="rId3" Type="http://schemas.openxmlformats.org/officeDocument/2006/relationships/hyperlink" Target="https://elearn.isb.edu/course/view.php?id=9796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elearn.isb.edu/course/view.php?id=9876" TargetMode="External"/><Relationship Id="rId12" Type="http://schemas.openxmlformats.org/officeDocument/2006/relationships/hyperlink" Target="https://elearn.isb.edu/course/view.php?id=9950" TargetMode="External"/><Relationship Id="rId17" Type="http://schemas.openxmlformats.org/officeDocument/2006/relationships/hyperlink" Target="https://elearn.isb.edu/course/view.php?id=10030" TargetMode="External"/><Relationship Id="rId2" Type="http://schemas.openxmlformats.org/officeDocument/2006/relationships/hyperlink" Target="https://elearn.isb.edu/course/view.php?id=9798" TargetMode="External"/><Relationship Id="rId16" Type="http://schemas.openxmlformats.org/officeDocument/2006/relationships/hyperlink" Target="https://elearn.isb.edu/course/view.php?id=10033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elearn.isb.edu/course/view.php?id=9808" TargetMode="External"/><Relationship Id="rId6" Type="http://schemas.openxmlformats.org/officeDocument/2006/relationships/hyperlink" Target="https://elearn.isb.edu/course/view.php?id=9792" TargetMode="External"/><Relationship Id="rId11" Type="http://schemas.openxmlformats.org/officeDocument/2006/relationships/hyperlink" Target="https://elearn.isb.edu/course/view.php?id=9954" TargetMode="External"/><Relationship Id="rId5" Type="http://schemas.openxmlformats.org/officeDocument/2006/relationships/hyperlink" Target="https://elearn.isb.edu/course/view.php?id=9794" TargetMode="External"/><Relationship Id="rId15" Type="http://schemas.openxmlformats.org/officeDocument/2006/relationships/hyperlink" Target="https://elearn.isb.edu/course/view.php?id=10040" TargetMode="External"/><Relationship Id="rId23" Type="http://schemas.openxmlformats.org/officeDocument/2006/relationships/image" Target="../media/image1.emf"/><Relationship Id="rId10" Type="http://schemas.openxmlformats.org/officeDocument/2006/relationships/hyperlink" Target="https://elearn.isb.edu/course/view.php?id=9872" TargetMode="External"/><Relationship Id="rId19" Type="http://schemas.openxmlformats.org/officeDocument/2006/relationships/hyperlink" Target="https://elearn.isb.edu/course/view.php?id=10135" TargetMode="External"/><Relationship Id="rId4" Type="http://schemas.openxmlformats.org/officeDocument/2006/relationships/hyperlink" Target="https://elearn.isb.edu/course/view.php?id=9795" TargetMode="External"/><Relationship Id="rId9" Type="http://schemas.openxmlformats.org/officeDocument/2006/relationships/hyperlink" Target="https://elearn.isb.edu/course/view.php?id=9873" TargetMode="External"/><Relationship Id="rId14" Type="http://schemas.openxmlformats.org/officeDocument/2006/relationships/hyperlink" Target="https://elearn.isb.edu/course/view.php?id=9944" TargetMode="External"/><Relationship Id="rId22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CDFF-2547-431E-843F-2E8B5CB74D34}">
  <sheetPr codeName="Sheet1"/>
  <dimension ref="C3:K77"/>
  <sheetViews>
    <sheetView tabSelected="1" topLeftCell="A56" workbookViewId="0">
      <selection activeCell="H70" sqref="H70"/>
    </sheetView>
  </sheetViews>
  <sheetFormatPr defaultRowHeight="14.4" x14ac:dyDescent="0.3"/>
  <sheetData>
    <row r="3" spans="3:11" ht="15" thickBot="1" x14ac:dyDescent="0.35">
      <c r="C3" s="2" t="s">
        <v>0</v>
      </c>
    </row>
    <row r="4" spans="3:11" ht="15" thickBot="1" x14ac:dyDescent="0.35">
      <c r="C4" s="3" t="s">
        <v>1</v>
      </c>
      <c r="D4" s="4" t="s">
        <v>2</v>
      </c>
      <c r="E4" s="4" t="s">
        <v>3</v>
      </c>
      <c r="F4" s="5" t="s">
        <v>4</v>
      </c>
    </row>
    <row r="5" spans="3:11" ht="15" thickBot="1" x14ac:dyDescent="0.35">
      <c r="C5" s="6" t="s">
        <v>5</v>
      </c>
      <c r="D5" s="7" t="s">
        <v>6</v>
      </c>
      <c r="E5" s="7">
        <v>3.5</v>
      </c>
      <c r="F5" s="8">
        <v>0.4</v>
      </c>
      <c r="G5">
        <f>E5*F5</f>
        <v>1.4000000000000001</v>
      </c>
    </row>
    <row r="6" spans="3:11" ht="15" thickBot="1" x14ac:dyDescent="0.35">
      <c r="C6" s="6" t="s">
        <v>7</v>
      </c>
      <c r="D6" s="7" t="s">
        <v>8</v>
      </c>
      <c r="E6" s="7">
        <v>2.5</v>
      </c>
      <c r="F6" s="8">
        <v>0.6</v>
      </c>
      <c r="G6">
        <f t="shared" ref="G6:G10" si="0">E6*F6</f>
        <v>1.5</v>
      </c>
      <c r="H6">
        <f>SUM(G5:G6)</f>
        <v>2.9000000000000004</v>
      </c>
      <c r="K6" s="13">
        <f>AVERAGE(H11,H24,H37,H50)</f>
        <v>2.4824999999999999</v>
      </c>
    </row>
    <row r="7" spans="3:11" ht="15" thickBot="1" x14ac:dyDescent="0.35">
      <c r="C7" s="6" t="s">
        <v>9</v>
      </c>
      <c r="D7" s="7" t="s">
        <v>8</v>
      </c>
      <c r="E7" s="7">
        <v>2.5</v>
      </c>
      <c r="F7" s="8">
        <v>1</v>
      </c>
      <c r="G7">
        <f t="shared" si="0"/>
        <v>2.5</v>
      </c>
      <c r="H7">
        <f>G7</f>
        <v>2.5</v>
      </c>
    </row>
    <row r="8" spans="3:11" ht="15" thickBot="1" x14ac:dyDescent="0.35">
      <c r="C8" s="6" t="s">
        <v>10</v>
      </c>
      <c r="D8" s="7" t="s">
        <v>11</v>
      </c>
      <c r="E8" s="7">
        <v>1</v>
      </c>
      <c r="F8" s="8">
        <v>1</v>
      </c>
      <c r="G8">
        <f t="shared" si="0"/>
        <v>1</v>
      </c>
      <c r="H8">
        <f t="shared" ref="H8:H10" si="1">G8</f>
        <v>1</v>
      </c>
    </row>
    <row r="9" spans="3:11" ht="15" thickBot="1" x14ac:dyDescent="0.35">
      <c r="C9" s="6" t="s">
        <v>12</v>
      </c>
      <c r="D9" s="7" t="s">
        <v>8</v>
      </c>
      <c r="E9" s="7">
        <v>2.5</v>
      </c>
      <c r="F9" s="8">
        <v>1</v>
      </c>
      <c r="G9">
        <f t="shared" si="0"/>
        <v>2.5</v>
      </c>
      <c r="H9">
        <f t="shared" si="1"/>
        <v>2.5</v>
      </c>
    </row>
    <row r="10" spans="3:11" ht="15" thickBot="1" x14ac:dyDescent="0.35">
      <c r="C10" s="9" t="s">
        <v>13</v>
      </c>
      <c r="D10" s="10" t="s">
        <v>14</v>
      </c>
      <c r="E10" s="10">
        <v>2</v>
      </c>
      <c r="F10" s="11">
        <v>1</v>
      </c>
      <c r="G10">
        <f t="shared" si="0"/>
        <v>2</v>
      </c>
      <c r="H10">
        <f t="shared" si="1"/>
        <v>2</v>
      </c>
    </row>
    <row r="11" spans="3:11" x14ac:dyDescent="0.3">
      <c r="H11" s="12">
        <f>AVERAGE(H6:H10)</f>
        <v>2.1800000000000002</v>
      </c>
    </row>
    <row r="12" spans="3:11" x14ac:dyDescent="0.3">
      <c r="C12" s="1" t="s">
        <v>15</v>
      </c>
    </row>
    <row r="14" spans="3:11" x14ac:dyDescent="0.3">
      <c r="C14" s="1" t="s">
        <v>16</v>
      </c>
    </row>
    <row r="16" spans="3:11" x14ac:dyDescent="0.3">
      <c r="C16" s="1" t="s">
        <v>17</v>
      </c>
    </row>
    <row r="18" spans="3:8" ht="15" thickBot="1" x14ac:dyDescent="0.35">
      <c r="C18" s="2" t="s">
        <v>18</v>
      </c>
    </row>
    <row r="19" spans="3:8" ht="15" thickBot="1" x14ac:dyDescent="0.35">
      <c r="C19" s="3" t="s">
        <v>1</v>
      </c>
      <c r="D19" s="4" t="s">
        <v>2</v>
      </c>
      <c r="E19" s="4" t="s">
        <v>3</v>
      </c>
      <c r="F19" s="5" t="s">
        <v>4</v>
      </c>
    </row>
    <row r="20" spans="3:8" ht="15" thickBot="1" x14ac:dyDescent="0.35">
      <c r="C20" s="6" t="s">
        <v>19</v>
      </c>
      <c r="D20" s="7" t="s">
        <v>8</v>
      </c>
      <c r="E20" s="7">
        <v>2.5</v>
      </c>
      <c r="F20" s="8">
        <v>1</v>
      </c>
      <c r="G20">
        <f>E20*F20</f>
        <v>2.5</v>
      </c>
      <c r="H20">
        <f>G20</f>
        <v>2.5</v>
      </c>
    </row>
    <row r="21" spans="3:8" ht="15" thickBot="1" x14ac:dyDescent="0.35">
      <c r="C21" s="6" t="s">
        <v>20</v>
      </c>
      <c r="D21" s="7" t="s">
        <v>21</v>
      </c>
      <c r="E21" s="7">
        <v>3</v>
      </c>
      <c r="F21" s="8">
        <v>1</v>
      </c>
      <c r="G21">
        <f t="shared" ref="G21:G23" si="2">E21*F21</f>
        <v>3</v>
      </c>
      <c r="H21">
        <f t="shared" ref="H21:H23" si="3">G21</f>
        <v>3</v>
      </c>
    </row>
    <row r="22" spans="3:8" ht="15" thickBot="1" x14ac:dyDescent="0.35">
      <c r="C22" s="6" t="s">
        <v>22</v>
      </c>
      <c r="D22" s="7" t="s">
        <v>11</v>
      </c>
      <c r="E22" s="7">
        <v>1</v>
      </c>
      <c r="F22" s="8">
        <v>1</v>
      </c>
      <c r="G22">
        <f t="shared" si="2"/>
        <v>1</v>
      </c>
      <c r="H22">
        <f t="shared" si="3"/>
        <v>1</v>
      </c>
    </row>
    <row r="23" spans="3:8" ht="15" thickBot="1" x14ac:dyDescent="0.35">
      <c r="C23" s="9" t="s">
        <v>23</v>
      </c>
      <c r="D23" s="10" t="s">
        <v>14</v>
      </c>
      <c r="E23" s="10">
        <v>2</v>
      </c>
      <c r="F23" s="11">
        <v>1</v>
      </c>
      <c r="G23">
        <f t="shared" si="2"/>
        <v>2</v>
      </c>
      <c r="H23">
        <f t="shared" si="3"/>
        <v>2</v>
      </c>
    </row>
    <row r="24" spans="3:8" x14ac:dyDescent="0.3">
      <c r="H24" s="16">
        <f>AVERAGE(H20:H23)</f>
        <v>2.125</v>
      </c>
    </row>
    <row r="25" spans="3:8" x14ac:dyDescent="0.3">
      <c r="C25" s="1" t="s">
        <v>24</v>
      </c>
    </row>
    <row r="26" spans="3:8" x14ac:dyDescent="0.3">
      <c r="H26" s="14"/>
    </row>
    <row r="27" spans="3:8" x14ac:dyDescent="0.3">
      <c r="C27" s="1" t="s">
        <v>25</v>
      </c>
      <c r="H27" s="15">
        <f>AVERAGE(H6:H10,H20:H23)</f>
        <v>2.1555555555555554</v>
      </c>
    </row>
    <row r="29" spans="3:8" x14ac:dyDescent="0.3">
      <c r="C29" s="1" t="s">
        <v>26</v>
      </c>
    </row>
    <row r="31" spans="3:8" ht="15" thickBot="1" x14ac:dyDescent="0.35">
      <c r="C31" s="2" t="s">
        <v>27</v>
      </c>
    </row>
    <row r="32" spans="3:8" ht="15" thickBot="1" x14ac:dyDescent="0.35">
      <c r="C32" s="3" t="s">
        <v>1</v>
      </c>
      <c r="D32" s="4" t="s">
        <v>2</v>
      </c>
      <c r="E32" s="4" t="s">
        <v>3</v>
      </c>
      <c r="F32" s="5" t="s">
        <v>4</v>
      </c>
    </row>
    <row r="33" spans="3:8" ht="15" thickBot="1" x14ac:dyDescent="0.35">
      <c r="C33" s="6" t="s">
        <v>28</v>
      </c>
      <c r="D33" s="7" t="s">
        <v>21</v>
      </c>
      <c r="E33" s="7">
        <v>3</v>
      </c>
      <c r="F33" s="8">
        <v>1</v>
      </c>
      <c r="G33">
        <f>E33*F33</f>
        <v>3</v>
      </c>
      <c r="H33">
        <f>G33</f>
        <v>3</v>
      </c>
    </row>
    <row r="34" spans="3:8" ht="15" thickBot="1" x14ac:dyDescent="0.35">
      <c r="C34" s="6" t="s">
        <v>29</v>
      </c>
      <c r="D34" s="7" t="s">
        <v>8</v>
      </c>
      <c r="E34" s="7">
        <v>2.5</v>
      </c>
      <c r="F34" s="8">
        <v>1</v>
      </c>
      <c r="G34">
        <f t="shared" ref="G34:G36" si="4">E34*F34</f>
        <v>2.5</v>
      </c>
      <c r="H34">
        <f t="shared" ref="H34:H36" si="5">G34</f>
        <v>2.5</v>
      </c>
    </row>
    <row r="35" spans="3:8" ht="15" thickBot="1" x14ac:dyDescent="0.35">
      <c r="C35" s="6" t="s">
        <v>30</v>
      </c>
      <c r="D35" s="7" t="s">
        <v>14</v>
      </c>
      <c r="E35" s="7">
        <v>2</v>
      </c>
      <c r="F35" s="8">
        <v>1</v>
      </c>
      <c r="G35">
        <f t="shared" si="4"/>
        <v>2</v>
      </c>
      <c r="H35">
        <f t="shared" si="5"/>
        <v>2</v>
      </c>
    </row>
    <row r="36" spans="3:8" ht="15" thickBot="1" x14ac:dyDescent="0.35">
      <c r="C36" s="9" t="s">
        <v>31</v>
      </c>
      <c r="D36" s="10" t="s">
        <v>14</v>
      </c>
      <c r="E36" s="10">
        <v>2</v>
      </c>
      <c r="F36" s="11">
        <v>1</v>
      </c>
      <c r="G36">
        <f t="shared" si="4"/>
        <v>2</v>
      </c>
      <c r="H36">
        <f t="shared" si="5"/>
        <v>2</v>
      </c>
    </row>
    <row r="37" spans="3:8" x14ac:dyDescent="0.3">
      <c r="H37" s="16">
        <f>AVERAGE(H33:H36)</f>
        <v>2.375</v>
      </c>
    </row>
    <row r="38" spans="3:8" x14ac:dyDescent="0.3">
      <c r="C38" s="1" t="s">
        <v>32</v>
      </c>
    </row>
    <row r="40" spans="3:8" x14ac:dyDescent="0.3">
      <c r="C40" s="1" t="s">
        <v>33</v>
      </c>
      <c r="H40" s="15">
        <f>AVERAGE(H6:H10,H20:H23,H33:H36)</f>
        <v>2.2230769230769232</v>
      </c>
    </row>
    <row r="42" spans="3:8" x14ac:dyDescent="0.3">
      <c r="C42" s="1" t="s">
        <v>26</v>
      </c>
    </row>
    <row r="44" spans="3:8" ht="15" thickBot="1" x14ac:dyDescent="0.35">
      <c r="C44" s="2" t="s">
        <v>34</v>
      </c>
    </row>
    <row r="45" spans="3:8" ht="15" thickBot="1" x14ac:dyDescent="0.35">
      <c r="C45" s="3" t="s">
        <v>1</v>
      </c>
      <c r="D45" s="4" t="s">
        <v>2</v>
      </c>
      <c r="E45" s="4" t="s">
        <v>3</v>
      </c>
      <c r="F45" s="5" t="s">
        <v>4</v>
      </c>
    </row>
    <row r="46" spans="3:8" ht="15" thickBot="1" x14ac:dyDescent="0.35">
      <c r="C46" s="6" t="s">
        <v>35</v>
      </c>
      <c r="D46" s="7" t="s">
        <v>21</v>
      </c>
      <c r="E46" s="7">
        <v>3</v>
      </c>
      <c r="F46" s="8">
        <v>1</v>
      </c>
      <c r="G46">
        <f>E46*F46</f>
        <v>3</v>
      </c>
      <c r="H46">
        <f>G46</f>
        <v>3</v>
      </c>
    </row>
    <row r="47" spans="3:8" ht="15" thickBot="1" x14ac:dyDescent="0.35">
      <c r="C47" s="6" t="s">
        <v>36</v>
      </c>
      <c r="D47" s="7" t="s">
        <v>6</v>
      </c>
      <c r="E47" s="7">
        <v>3.5</v>
      </c>
      <c r="F47" s="8">
        <v>1</v>
      </c>
      <c r="G47">
        <f t="shared" ref="G47:G55" si="6">E47*F47</f>
        <v>3.5</v>
      </c>
      <c r="H47">
        <f t="shared" ref="H47:H55" si="7">G47</f>
        <v>3.5</v>
      </c>
    </row>
    <row r="48" spans="3:8" ht="15" thickBot="1" x14ac:dyDescent="0.35">
      <c r="C48" s="9" t="s">
        <v>37</v>
      </c>
      <c r="D48" s="10" t="s">
        <v>21</v>
      </c>
      <c r="E48" s="10">
        <v>3</v>
      </c>
      <c r="F48" s="11">
        <v>1</v>
      </c>
      <c r="G48">
        <f t="shared" si="6"/>
        <v>3</v>
      </c>
      <c r="H48">
        <f t="shared" si="7"/>
        <v>3</v>
      </c>
    </row>
    <row r="49" spans="3:8" ht="15" thickBot="1" x14ac:dyDescent="0.35">
      <c r="C49" s="17" t="s">
        <v>42</v>
      </c>
      <c r="D49" s="18"/>
      <c r="E49" s="18">
        <v>3.5</v>
      </c>
      <c r="F49" s="11">
        <v>1</v>
      </c>
      <c r="G49">
        <f t="shared" ref="G49" si="8">E49*F49</f>
        <v>3.5</v>
      </c>
      <c r="H49">
        <f t="shared" si="7"/>
        <v>3.5</v>
      </c>
    </row>
    <row r="50" spans="3:8" x14ac:dyDescent="0.3">
      <c r="C50" s="17"/>
      <c r="D50" s="18"/>
      <c r="E50" s="18"/>
      <c r="F50" s="18"/>
      <c r="H50" s="12">
        <f>AVERAGE(H46:H49)</f>
        <v>3.25</v>
      </c>
    </row>
    <row r="51" spans="3:8" x14ac:dyDescent="0.3">
      <c r="C51" s="17"/>
      <c r="D51" s="18"/>
      <c r="E51" s="18"/>
      <c r="F51" s="18"/>
    </row>
    <row r="52" spans="3:8" x14ac:dyDescent="0.3">
      <c r="C52" s="17"/>
      <c r="D52" s="18"/>
      <c r="E52" s="18"/>
      <c r="F52" s="18"/>
      <c r="H52" s="15">
        <f>AVERAGE(H46:H49,H33:H36,H20:H23,H6:H10)</f>
        <v>2.4647058823529413</v>
      </c>
    </row>
    <row r="53" spans="3:8" ht="15" thickBot="1" x14ac:dyDescent="0.35">
      <c r="C53" s="2" t="s">
        <v>38</v>
      </c>
    </row>
    <row r="54" spans="3:8" ht="15" thickBot="1" x14ac:dyDescent="0.35">
      <c r="C54" s="3" t="s">
        <v>1</v>
      </c>
      <c r="D54" s="4" t="s">
        <v>2</v>
      </c>
      <c r="E54" s="4" t="s">
        <v>3</v>
      </c>
      <c r="F54" s="5" t="s">
        <v>4</v>
      </c>
    </row>
    <row r="55" spans="3:8" ht="15" thickBot="1" x14ac:dyDescent="0.35">
      <c r="C55" s="9" t="s">
        <v>39</v>
      </c>
      <c r="D55" s="10" t="s">
        <v>6</v>
      </c>
      <c r="E55" s="10">
        <v>3.5</v>
      </c>
      <c r="F55" s="11">
        <v>1</v>
      </c>
      <c r="G55">
        <f t="shared" si="6"/>
        <v>3.5</v>
      </c>
      <c r="H55">
        <f t="shared" si="7"/>
        <v>3.5</v>
      </c>
    </row>
    <row r="56" spans="3:8" ht="15" thickBot="1" x14ac:dyDescent="0.35">
      <c r="C56" s="2" t="s">
        <v>40</v>
      </c>
    </row>
    <row r="57" spans="3:8" ht="15" thickBot="1" x14ac:dyDescent="0.35">
      <c r="C57" s="3" t="s">
        <v>1</v>
      </c>
      <c r="D57" s="4" t="s">
        <v>2</v>
      </c>
      <c r="E57" s="4" t="s">
        <v>3</v>
      </c>
      <c r="F57" s="5" t="s">
        <v>4</v>
      </c>
    </row>
    <row r="58" spans="3:8" ht="15" thickBot="1" x14ac:dyDescent="0.35">
      <c r="C58" s="9" t="s">
        <v>41</v>
      </c>
      <c r="D58" s="10" t="s">
        <v>8</v>
      </c>
      <c r="E58" s="10">
        <v>2.5</v>
      </c>
      <c r="F58" s="11">
        <v>1</v>
      </c>
      <c r="G58">
        <f t="shared" ref="G58" si="9">E58*F58</f>
        <v>2.5</v>
      </c>
      <c r="H58">
        <f t="shared" ref="H58" si="10">G58</f>
        <v>2.5</v>
      </c>
    </row>
    <row r="60" spans="3:8" x14ac:dyDescent="0.3">
      <c r="H60" s="15">
        <f>AVERAGE(H58,H55,H46:H49,H33:H36,H20:H23,H6:H10)</f>
        <v>2.5210526315789474</v>
      </c>
    </row>
    <row r="62" spans="3:8" x14ac:dyDescent="0.3">
      <c r="C62" t="s">
        <v>43</v>
      </c>
    </row>
    <row r="63" spans="3:8" x14ac:dyDescent="0.3">
      <c r="C63" t="s">
        <v>44</v>
      </c>
      <c r="E63">
        <v>3</v>
      </c>
      <c r="F63">
        <v>1</v>
      </c>
      <c r="G63">
        <f t="shared" ref="G63:G65" si="11">E63*F63</f>
        <v>3</v>
      </c>
      <c r="H63">
        <f t="shared" ref="H63:H65" si="12">G63</f>
        <v>3</v>
      </c>
    </row>
    <row r="64" spans="3:8" x14ac:dyDescent="0.3">
      <c r="C64" t="s">
        <v>45</v>
      </c>
      <c r="E64">
        <v>3</v>
      </c>
      <c r="F64">
        <v>1</v>
      </c>
      <c r="G64">
        <f t="shared" si="11"/>
        <v>3</v>
      </c>
      <c r="H64">
        <f t="shared" si="12"/>
        <v>3</v>
      </c>
    </row>
    <row r="65" spans="3:8" x14ac:dyDescent="0.3">
      <c r="C65" t="s">
        <v>46</v>
      </c>
      <c r="E65">
        <v>3</v>
      </c>
      <c r="F65">
        <v>1</v>
      </c>
      <c r="G65">
        <f t="shared" si="11"/>
        <v>3</v>
      </c>
      <c r="H65">
        <f t="shared" si="12"/>
        <v>3</v>
      </c>
    </row>
    <row r="68" spans="3:8" x14ac:dyDescent="0.3">
      <c r="G68">
        <v>3.5</v>
      </c>
      <c r="H68" s="15">
        <f>AVERAGE(H63:H65,H58,H55,H46:H49,H33:H36,H20:H23,H6:H10)</f>
        <v>2.5863636363636364</v>
      </c>
    </row>
    <row r="69" spans="3:8" x14ac:dyDescent="0.3">
      <c r="G69">
        <v>3.5</v>
      </c>
    </row>
    <row r="70" spans="3:8" x14ac:dyDescent="0.3">
      <c r="G70">
        <v>3.5</v>
      </c>
      <c r="H70" s="15">
        <f>AVERAGE(H63:H65,H58,H55,H46:H49,H33:H36,H20:H23,H6:H10,G68:G77)</f>
        <v>2.9656250000000002</v>
      </c>
    </row>
    <row r="71" spans="3:8" x14ac:dyDescent="0.3">
      <c r="G71">
        <v>3.5</v>
      </c>
    </row>
    <row r="72" spans="3:8" x14ac:dyDescent="0.3">
      <c r="G72">
        <v>4</v>
      </c>
    </row>
    <row r="73" spans="3:8" x14ac:dyDescent="0.3">
      <c r="G73">
        <v>4</v>
      </c>
    </row>
    <row r="74" spans="3:8" x14ac:dyDescent="0.3">
      <c r="G74">
        <v>4</v>
      </c>
    </row>
    <row r="75" spans="3:8" x14ac:dyDescent="0.3">
      <c r="G75">
        <v>4</v>
      </c>
    </row>
    <row r="76" spans="3:8" x14ac:dyDescent="0.3">
      <c r="G76">
        <v>4</v>
      </c>
    </row>
    <row r="77" spans="3:8" x14ac:dyDescent="0.3">
      <c r="G77">
        <v>4</v>
      </c>
    </row>
  </sheetData>
  <hyperlinks>
    <hyperlink ref="C5" r:id="rId1" display="https://elearn.isb.edu/course/view.php?id=9808" xr:uid="{469B3B0E-5AF4-42F2-9F79-917396BEBF84}"/>
    <hyperlink ref="C6" r:id="rId2" display="https://elearn.isb.edu/course/view.php?id=9798" xr:uid="{65CDC498-F5DB-439C-8B05-670B3864271A}"/>
    <hyperlink ref="C7" r:id="rId3" display="https://elearn.isb.edu/course/view.php?id=9796" xr:uid="{8EBE6386-F46C-4948-82E4-62DC9A385EDD}"/>
    <hyperlink ref="C8" r:id="rId4" display="https://elearn.isb.edu/course/view.php?id=9795" xr:uid="{920C79F2-E190-4D95-963A-68DC82CE96E7}"/>
    <hyperlink ref="C9" r:id="rId5" display="https://elearn.isb.edu/course/view.php?id=9794" xr:uid="{E2D0C104-C321-464B-B329-020033EA8313}"/>
    <hyperlink ref="C10" r:id="rId6" display="https://elearn.isb.edu/course/view.php?id=9792" xr:uid="{C5FF7509-936D-4901-8D3C-858AEFB2D9F0}"/>
    <hyperlink ref="C20" r:id="rId7" display="https://elearn.isb.edu/course/view.php?id=9876" xr:uid="{76D9484F-2003-481F-AAC3-3B86F32AE92A}"/>
    <hyperlink ref="C21" r:id="rId8" display="https://elearn.isb.edu/course/view.php?id=9875" xr:uid="{3922C080-0AAA-44E5-AEF3-6E0160B642AE}"/>
    <hyperlink ref="C22" r:id="rId9" display="https://elearn.isb.edu/course/view.php?id=9873" xr:uid="{6F6F9262-261D-4406-AA1E-167C4740AEC9}"/>
    <hyperlink ref="C23" r:id="rId10" display="https://elearn.isb.edu/course/view.php?id=9872" xr:uid="{037242B9-5A48-438F-8F95-E7FF99CD5BB9}"/>
    <hyperlink ref="C33" r:id="rId11" display="https://elearn.isb.edu/course/view.php?id=9954" xr:uid="{5A4C8D70-2345-49C4-9093-423DAA4C69A8}"/>
    <hyperlink ref="C34" r:id="rId12" display="https://elearn.isb.edu/course/view.php?id=9950" xr:uid="{3F426C5A-A778-483A-BB7B-1169D90D3B4A}"/>
    <hyperlink ref="C35" r:id="rId13" display="https://elearn.isb.edu/course/view.php?id=9946" xr:uid="{F9A59CD9-02ED-4B51-A279-EC15874AE6A0}"/>
    <hyperlink ref="C36" r:id="rId14" display="https://elearn.isb.edu/course/view.php?id=9944" xr:uid="{78AFE462-E6E5-4C6A-BA35-4876EC27AAF7}"/>
    <hyperlink ref="C46" r:id="rId15" display="https://elearn.isb.edu/course/view.php?id=10040" xr:uid="{577E37C4-E37A-4964-8F99-DC679AA72890}"/>
    <hyperlink ref="C47" r:id="rId16" display="https://elearn.isb.edu/course/view.php?id=10033" xr:uid="{78F39A52-5EE1-4DC2-9668-1E644195DF60}"/>
    <hyperlink ref="C48" r:id="rId17" display="https://elearn.isb.edu/course/view.php?id=10030" xr:uid="{14CF50D1-8445-4053-822D-B870A29A5C39}"/>
    <hyperlink ref="C55" r:id="rId18" display="https://elearn.isb.edu/course/view.php?id=10121" xr:uid="{A930A154-BB16-44B8-A6DA-FA9129BF46F1}"/>
    <hyperlink ref="C58" r:id="rId19" display="https://elearn.isb.edu/course/view.php?id=10135" xr:uid="{98AA1585-1692-4DC1-84D1-8F4A6BB97E6F}"/>
  </hyperlinks>
  <pageMargins left="0.7" right="0.7" top="0.75" bottom="0.75" header="0.3" footer="0.3"/>
  <drawing r:id="rId20"/>
  <legacyDrawing r:id="rId21"/>
  <controls>
    <mc:AlternateContent xmlns:mc="http://schemas.openxmlformats.org/markup-compatibility/2006">
      <mc:Choice Requires="x14">
        <control shapeId="1025" r:id="rId22" name="Control 1">
          <controlPr defaultSize="0" r:id="rId23">
            <anchor moveWithCells="1">
              <from>
                <xdr:col>2</xdr:col>
                <xdr:colOff>0</xdr:colOff>
                <xdr:row>58</xdr:row>
                <xdr:rowOff>0</xdr:rowOff>
              </from>
              <to>
                <xdr:col>3</xdr:col>
                <xdr:colOff>304800</xdr:colOff>
                <xdr:row>59</xdr:row>
                <xdr:rowOff>45720</xdr:rowOff>
              </to>
            </anchor>
          </controlPr>
        </control>
      </mc:Choice>
      <mc:Fallback>
        <control shapeId="1025" r:id="rId2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Mittal</dc:creator>
  <cp:lastModifiedBy>Aditi Mittal</cp:lastModifiedBy>
  <dcterms:created xsi:type="dcterms:W3CDTF">2025-12-25T08:07:50Z</dcterms:created>
  <dcterms:modified xsi:type="dcterms:W3CDTF">2026-01-14T18:48:56Z</dcterms:modified>
</cp:coreProperties>
</file>